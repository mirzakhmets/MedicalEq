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Лист1!$A$2:$N$33</definedName>
  </definedNames>
  <calcPr calcId="124519"/>
</workbook>
</file>

<file path=xl/calcChain.xml><?xml version="1.0" encoding="utf-8"?>
<calcChain xmlns="http://schemas.openxmlformats.org/spreadsheetml/2006/main">
  <c r="C32" i="1"/>
  <c r="E16"/>
  <c r="E24" l="1"/>
  <c r="C31"/>
  <c r="E7"/>
  <c r="E6"/>
  <c r="E5"/>
  <c r="E4"/>
  <c r="E8"/>
  <c r="E9"/>
  <c r="E10"/>
  <c r="E11"/>
  <c r="E12"/>
  <c r="E13"/>
  <c r="E15"/>
  <c r="E17"/>
  <c r="E18"/>
  <c r="E20"/>
  <c r="E21"/>
  <c r="E22"/>
  <c r="E23"/>
  <c r="E25"/>
  <c r="E26"/>
  <c r="E27"/>
  <c r="E28"/>
  <c r="E29"/>
  <c r="E30"/>
  <c r="E19"/>
  <c r="E14"/>
  <c r="E3"/>
  <c r="Q7"/>
</calcChain>
</file>

<file path=xl/sharedStrings.xml><?xml version="1.0" encoding="utf-8"?>
<sst xmlns="http://schemas.openxmlformats.org/spreadsheetml/2006/main" count="63" uniqueCount="60">
  <si>
    <t>ABZ (лет)</t>
  </si>
  <si>
    <t>ФИО</t>
  </si>
  <si>
    <t>г/р</t>
  </si>
  <si>
    <t>№</t>
  </si>
  <si>
    <t xml:space="preserve">НУРГАЗИЕВА НАЗИРА ТЛЕПЖАНОВНА </t>
  </si>
  <si>
    <t>ЖҰМӘДІЛОВА АЙДАНА ІЗБАСАРҚЫЗЫ</t>
  </si>
  <si>
    <t>МӘЛІКОВА АЙСҰЛУ СҰЛТАНҚЫЗЫ</t>
  </si>
  <si>
    <t>БОГОМАЗ ТАТЬЯНА МИХАЙЛОВНА</t>
  </si>
  <si>
    <t>АСТЕНБАЕВ ГАБИДЕН</t>
  </si>
  <si>
    <t xml:space="preserve">ДУЙСЕНБАЕВА ДАРИГА </t>
  </si>
  <si>
    <t xml:space="preserve">ЖАНАКУЛОВА АЛТЫНАЙ </t>
  </si>
  <si>
    <t>КАГАЗБЕК НУРКАНАТ</t>
  </si>
  <si>
    <t xml:space="preserve">МУСАЕВА БЕГЗАДА </t>
  </si>
  <si>
    <t>ЖУМАБАЕВ СЕРИК БОЛАТУЛЫ</t>
  </si>
  <si>
    <t>РЕСПУБЛИКА: Казахстан, ОБЛАСТЬ: Восточно-казахстанская, ГОРОД ОБЛ.ЗНАЧ.: Семей, КВАРТАЛ: Квартал 35, ДОМ: 13, КВАРТИРА: 29</t>
  </si>
  <si>
    <t>Телефон 877 777 480 420</t>
  </si>
  <si>
    <t>Альвеолярный эхинококкоз печени в проекции SVIII, VII, VI, V, IV с вовлечением в процесс правой печеночной артерии, ВВ, правой ветви ВВ, устья левой ветви ВВ, НПВ, правой печеночной вены, устья срединной печеной вены. Холангит. Механическая желтуха.</t>
  </si>
  <si>
    <t>Альбезол принимает с февраля 2023 года</t>
  </si>
  <si>
    <t xml:space="preserve">ЖУМАБАЕВ СЕРИК БОЛАТУЛЫ
</t>
  </si>
  <si>
    <t>КТА ОБП от 03.10.2024г.: Состояние после ЧЧХС. КТ-картина альвеолярного эхинококкоза печени с признаками абсцедирования в проекции SVIII, VII, VI, V, IV( В9,5 х Ш7,2 х ПЗР10,5 см (размеры от 14.11.2023г В20,2 см х Ш13,8см х ПЗР18,0 см). ) с вовлечением в процесс правой печеночной артерии, правой ветви ВВ, НПВ, правой и средней печеночных вен. В сравнении с предыдущим исследованием от 14.11.23г. – со значительным уменьшением в размерах. Спленомегалия. Аденопатия ворот печени парааортальной области. КТ-картина более соответствует абсцессу нижней доли правого легкого. Двусторонний гидроторакс.</t>
  </si>
  <si>
    <t>ХАРИАХМЕТ АРХАЛЫК</t>
  </si>
  <si>
    <t>РЕСПУБЛИКА: Казахстан, ОБЛАСТЬ: Алматинская, РАЙОН: Райымбекский, СЕЛЬСКИЙ ОКРУГ: НАРЫНКОЛЬСКИЙ, АУЛ(СЕЛО): НАРЫНКОЛ, УЛИЦА: АБАЯ, ДОМ: 25</t>
  </si>
  <si>
    <t>Телефон +7 7763421313</t>
  </si>
  <si>
    <t>КТ ОБП 05.01.2023г.: КР правая доля   -  ткань печени не визуализируется, ККР левая доля – 17,4 см. Плотность печени +48+51 ед.НU. Контуры печени неровные. Структура неоднородная, в проекции правой доли и частично левой доли отмечается наличие гиподенсного образования, неправильной формы, с нечеткими, неровными контурами, с кальцинатами и жидкостными включениями в структуре, с наружным катетером, размерами В11хШ12,9хПЗР14,1 см.  Образование вызывает полную деструкцию правой доли и SIV, вовлекает в процесс печеночные артерии и вены, ВВ, НПВ, луковицу ДПК, диафрагму. В SII, III определяются очаги отсева, диаметром 2,2 см и 1,7 см.</t>
  </si>
  <si>
    <t>КТ ОБП 18.04.2024г.: На серии КТ-сканов органов брюшной полости произведенных на 160- МСКТ фирмы «Тошиба» в сагиттальной, коронарной и аксиальной проекциях – печень размерами: правая доля   -  ткань печени не визуализируется, ККР левой доли  – 15,4 см. Плотность печени +52+58 ед.НU. Контуры печени неровные. Структура неоднородная, в проекции  правой доли и частично левой доли отмечается наличие гиподенсного образования,  неправильной формы, с нечеткими, неровными контурами, с кальцинатами в структуре,  размерами В8,0хШ15,3хПЗР11,8 см (В8,4хШ16,3хПЗР12,4см от 26.06.2023 г).  Образование  вовлекает в процесс печеночные артерии и вены,  ВВ, НПВ,  луковицу ДПК, диафрагму. В SIII определяются очаги отсева, диаметром до 2,5 см. Внутрипеченочные желчные протоки не расширены, в просвете отмечается дренажный катетер</t>
  </si>
  <si>
    <t>С января 2023 года принимает Альбезол</t>
  </si>
  <si>
    <t>CD4+/IL-17A(-)</t>
  </si>
  <si>
    <t>CD4+/IL-17A(+)</t>
  </si>
  <si>
    <t>CD4-/IL-17A(+)</t>
  </si>
  <si>
    <t>CD14FITC+/IL-10PE(-)</t>
  </si>
  <si>
    <t>CD14FITC+/IL-10PE(+)</t>
  </si>
  <si>
    <t>CD14FITC-/IL-10PE(+)</t>
  </si>
  <si>
    <t>AE (лет)</t>
  </si>
  <si>
    <t>САЙБЕЛЬ ТАМАРА ПЕТРОВНА</t>
  </si>
  <si>
    <r>
      <rPr>
        <b/>
        <sz val="11"/>
        <color theme="1"/>
        <rFont val="Calibri"/>
        <family val="2"/>
        <charset val="204"/>
        <scheme val="minor"/>
      </rPr>
      <t>КАБЫЛОВА БОТА НҰРЛАНҚЫЗЫ</t>
    </r>
    <r>
      <rPr>
        <sz val="11"/>
        <color theme="1"/>
        <rFont val="Calibri"/>
        <family val="2"/>
        <charset val="204"/>
        <scheme val="minor"/>
      </rPr>
      <t xml:space="preserve">
18.12.1993 
931218400385 
ГОРОД РЕСП.ЗНАЧ.: Алматы, РАЙОН ВНУТРИ ГОРОДА: Жетысуский, МИКРОРАЙОН: Айнабулак, ДОМ: 185, КВАРТИРА: 7  
Альвеококкоз с прорастанием в левую ветвь воротной вены, среднюю и левую печеночную вены, интрапеченочную часть НПВ, левую печеночную артерию, диафрагму, распространием в правое предсердие P3N1M1  
II,III,IV,VIII - 10,3х10,2х11,2 см; 10,6, последнее КТ ОБП - 4,9*2,7*5,2   
Легкие и средостение мтс     
</t>
    </r>
    <r>
      <rPr>
        <b/>
        <sz val="11"/>
        <color theme="1"/>
        <rFont val="Calibri"/>
        <family val="2"/>
        <charset val="204"/>
        <scheme val="minor"/>
      </rPr>
      <t xml:space="preserve">ШАҒИ МАҚСАТ ҚАЙРАТҰЛЫ </t>
    </r>
    <r>
      <rPr>
        <sz val="11"/>
        <color theme="1"/>
        <rFont val="Calibri"/>
        <family val="2"/>
        <charset val="204"/>
        <scheme val="minor"/>
      </rPr>
      <t xml:space="preserve">
29.03.1992 
920329300318 
ГОРОД РЕСП.ЗНАЧ.: Алматы, РАЙОН ВНУТРИ ГОРОДА: Ауэзовский, МИКРОРАЙОН: 7, ДОМ: 1
Альвеококкоз правой доли печени (S VIII, VII, VI, V, IV с вовлечением в процесс НПВ, ВВ, правой ветви ВВ, устья левой ВВ, правой и срединной печеночных вен, правой почечной вены в устье). Механическая желтуха. P3N1M1 
Операция: ЧЧХС + дренирование полости распада 
V, VI,VII,VIII - 11* 9,3* 10 см, последнее КТ ОБП - 5,7*5,0*3,3</t>
    </r>
  </si>
  <si>
    <r>
      <rPr>
        <b/>
        <sz val="11"/>
        <color theme="1"/>
        <rFont val="Calibri"/>
        <family val="2"/>
        <charset val="204"/>
        <scheme val="minor"/>
      </rPr>
      <t>БОГОМАЗ ТАТЬЯНА МИХАЙЛОВНА</t>
    </r>
    <r>
      <rPr>
        <sz val="11"/>
        <color theme="1"/>
        <rFont val="Calibri"/>
        <family val="2"/>
        <charset val="204"/>
        <scheme val="minor"/>
      </rPr>
      <t xml:space="preserve">
25.08.1990 г.р.  
ГОРОД РЕСП.ЗНАЧ.: Алматы , РАЙОН ВНУТРИ ГОРОДА: Медеуский , ДАЧНОЕ ОБЩЕСТВО: Микояна дача, ДОМ: 31 год 
87478 441 663 
Рецидивный альвеококкоз печени и мягких тканей правого межреберья P1N1M1 с метастатическим поражением головного мозга и правого глазного яблока.  
Болеет с 2015 года
Дренирование полости распада -14.05.2024  
Сегменты IV-V-VI-VII-VII 
Размеры 12,8х3,0х5,1</t>
    </r>
  </si>
  <si>
    <r>
      <rPr>
        <b/>
        <sz val="11"/>
        <color theme="1"/>
        <rFont val="Calibri"/>
        <family val="2"/>
        <charset val="204"/>
        <scheme val="minor"/>
      </rPr>
      <t>МӘЛІКОВА АЙСҰЛУ СҰЛТАНҚЫЗЫ</t>
    </r>
    <r>
      <rPr>
        <sz val="11"/>
        <color theme="1"/>
        <rFont val="Calibri"/>
        <family val="2"/>
        <charset val="204"/>
        <scheme val="minor"/>
      </rPr>
      <t xml:space="preserve">
29.05.1991 г.р.
31 год
ИИН 910529400934 
РЕСПУБЛИКА: Казахстан , ОБЛАСТЬ: Алматинская , РАЙОН: Енбекшиказахский , СЕЛЬСКИЙ ОКРУГ: Каражотинский , АУЛ(СЕЛО): Каражота , УЛИЦА: Сейфуллина , ДОМ: 14  
Альвеококкоз VI-VII Sg печени. Беременность 17-18 недель. P1N0M0 
Болеет с декабря 2018 янв.19 
Резекция заднего латерального сектора печени (VI-VII Sg) 
17.01.2019 
Размеры  9*10 см</t>
    </r>
  </si>
  <si>
    <r>
      <rPr>
        <b/>
        <sz val="11"/>
        <color theme="1"/>
        <rFont val="Calibri"/>
        <family val="2"/>
        <charset val="204"/>
        <scheme val="minor"/>
      </rPr>
      <t>ЖҰМӘДІЛОВА АЙДАНА ІЗБАСАРҚЫЗЫ</t>
    </r>
    <r>
      <rPr>
        <sz val="11"/>
        <color theme="1"/>
        <rFont val="Calibri"/>
        <family val="2"/>
        <charset val="204"/>
        <scheme val="minor"/>
      </rPr>
      <t xml:space="preserve">
04.06.1992 г.р. 
32 года
ИИН 920604401307 
ГОРОД РЕСП.ЗНАЧ.: Алматы, РАЙОН ВНУТРИ ГОРОДА: Ауэзовский , МИКРОРАЙОН: 3 , ДОМ: 5а
Телефон 8702 486 559 
Диагноз: Альвеококкоз печени с распространением на желчные протоки P4N1M1. Альвеококкоз кардиодиофрагмального синуса справа.  Механическая желтуха средней степени тяжести. Холангит. Абсцесс полости распада альвеококковой кисты левой доли печени. 
Дренирование полости распада альвеококковой кисты под УЗ-наведением 19.06.2024г.</t>
    </r>
  </si>
  <si>
    <r>
      <rPr>
        <b/>
        <sz val="11"/>
        <color theme="1"/>
        <rFont val="Calibri"/>
        <family val="2"/>
        <charset val="204"/>
        <scheme val="minor"/>
      </rPr>
      <t>НУРГАЗИЕВА НАЗИРА ТЛЕПЖАНОВНА</t>
    </r>
    <r>
      <rPr>
        <sz val="11"/>
        <color theme="1"/>
        <rFont val="Calibri"/>
        <family val="2"/>
        <charset val="204"/>
        <scheme val="minor"/>
      </rPr>
      <t xml:space="preserve"> 
17.02.1987 
870217401679 
ГОРОД РЕСП.ЗНАЧ.: Алматы, РАЙОН ВНУТРИ ГОРОДА: Турксибский, УЛИЦА: Молдагалиева, ДОМ: 24 
87024037067 
Рецидивный альвеококкоз левой доли печени (Sg IVa-b) с прорастанием в НПВ и гепатикохоледох. Полипоз желчного пузыря. Хронический вирусный гепатит В минимальной биохимической активности. P4NхM0 
Болеет с 2011 
Краевая резекция НПВ, резекция гепатикохоледоха с наложением билио-билиарного анастомоза на каркасном дренаже -14.11.2017 
Рецидив 2 сегмент (р.4,2х2,8см.) 
27.04.2021 г. Дренирование остаточной полости</t>
    </r>
  </si>
  <si>
    <r>
      <rPr>
        <b/>
        <sz val="11"/>
        <color theme="1"/>
        <rFont val="Calibri"/>
        <family val="2"/>
        <charset val="204"/>
        <scheme val="minor"/>
      </rPr>
      <t xml:space="preserve">САГИМБЕКОВ АСХАТ БАУРЖАНОВИЧ </t>
    </r>
    <r>
      <rPr>
        <sz val="11"/>
        <color theme="1"/>
        <rFont val="Calibri"/>
        <family val="2"/>
        <charset val="204"/>
        <scheme val="minor"/>
      </rPr>
      <t xml:space="preserve">
08.10.1991 
30 лет
ИИН 911008302052 
РЕСПУБЛИКА: Казахстан , ОБЛАСТЬ: Алматинская , РАЙОН: Кербулакский , СЕЛЬСКИЙ ОКРУГ: Талдыбулакский , АУЛ(СЕЛО): Талдыбулак , УЛИЦА: Кабанбай Батыра , ДОМ: 10  
Альвеококкоз правой и левой доли печени. II-III-IV-V-VI-VII Sg. 
31.01.2018 КТ - II,III,IV,V,VI  размеры 10*6, 5*4, 2*3</t>
    </r>
  </si>
  <si>
    <r>
      <rPr>
        <b/>
        <sz val="11"/>
        <color theme="1"/>
        <rFont val="Calibri"/>
        <family val="2"/>
        <charset val="204"/>
        <scheme val="minor"/>
      </rPr>
      <t>ОТАРБЕКОВА ӘСЕМ САҒАТБАЙҚЫЗЫ</t>
    </r>
    <r>
      <rPr>
        <sz val="11"/>
        <color theme="1"/>
        <rFont val="Calibri"/>
        <family val="2"/>
        <charset val="204"/>
        <scheme val="minor"/>
      </rPr>
      <t xml:space="preserve"> 
08.08.1990 
32 года
900808400959 
РЕСПУБЛИКА: Казахстан , ОБЛАСТЬ: Алматинская , РАЙОН: Уйгурский , СЕЛЬСКИЙ ОКРУГ: Шонжынский , АУЛ(СЕЛО): Шонжы , УЛИЦА: Н.Аппазова , ДОМ: 129/2 87753366395 
Альвеококкоз правой доли печени (Sg VII, VIII) c проростанием в правую печеночную вену. 
КТ ОБП 12.06.2019 VIII, VII, V  5*9 см</t>
    </r>
  </si>
  <si>
    <r>
      <rPr>
        <b/>
        <sz val="11"/>
        <color theme="1"/>
        <rFont val="Calibri"/>
        <family val="2"/>
        <charset val="204"/>
        <scheme val="minor"/>
      </rPr>
      <t>САЙБЕЛЬ ТАМАРА ПЕТРОВНА</t>
    </r>
    <r>
      <rPr>
        <sz val="11"/>
        <color theme="1"/>
        <rFont val="Calibri"/>
        <family val="2"/>
        <charset val="204"/>
        <scheme val="minor"/>
      </rPr>
      <t xml:space="preserve">
03.05.1986
860503400594
Альвеолярный эхинококкоз печени с прорастанием в правую печеночную артерию, воротную вену, нижнюю полую вену и срединную печеночную вену P4N3M1.
КТ SVIII/VI/V/IV/III/II гиподенсного участка без четких контуров, с наличием кальцинатов размером В17,4хШ16,4хПЗР10,4 см. Образование вовлекает в процесс правую печеночную артерию, конфлюенс ВВ, правую и левую ветвь ВВ, НПВ и срединную печеночную вену, интимно прилежит к выходному отделу желудка и ДПК. Так же в проекции SII отмечается наличие гиподенсного образования с нечеткими контурами, размером В2,4хШ2,2хПЗР2,4 см, плотностью +37 ед. HU, после введения контрастного вещества отмечается постепенное накопление контрастного вещества от периферии к центру
09.2024г. дренирование полости распада</t>
    </r>
  </si>
  <si>
    <r>
      <rPr>
        <b/>
        <sz val="11"/>
        <color theme="1"/>
        <rFont val="Calibri"/>
        <family val="2"/>
        <charset val="204"/>
        <scheme val="minor"/>
      </rPr>
      <t>Кевнимжаева Айсулу Пердабайқызы 17.12.1999</t>
    </r>
    <r>
      <rPr>
        <sz val="11"/>
        <color theme="1"/>
        <rFont val="Calibri"/>
        <family val="2"/>
        <charset val="204"/>
        <scheme val="minor"/>
      </rPr>
      <t xml:space="preserve">
991217401217
Алматы облысы еңбекшіқазақ ауданы Турген ауылы достық 11</t>
    </r>
  </si>
  <si>
    <t>Отарбекова ЭС</t>
  </si>
  <si>
    <t>Жаканбаева СА</t>
  </si>
  <si>
    <t>Кевнимжаева АП</t>
  </si>
  <si>
    <t>Адибек М</t>
  </si>
  <si>
    <t>Саутова Р</t>
  </si>
  <si>
    <t>Кабылова Б</t>
  </si>
  <si>
    <t>Шаги М</t>
  </si>
  <si>
    <t>Таипов Ш</t>
  </si>
  <si>
    <t>Азадбекова</t>
  </si>
  <si>
    <t>Толегенова Д</t>
  </si>
  <si>
    <t xml:space="preserve">Керимбекова Г. </t>
  </si>
  <si>
    <t>Кульмаганова А</t>
  </si>
  <si>
    <t xml:space="preserve">Хамитова А </t>
  </si>
  <si>
    <t>Септегенова Л</t>
  </si>
  <si>
    <t>Сагимбеков А</t>
  </si>
  <si>
    <t>кратность ХО</t>
  </si>
  <si>
    <t>Возраст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</si>
</sst>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wrapText="1"/>
    </xf>
    <xf numFmtId="1" fontId="0" fillId="0" borderId="0" xfId="0" applyNumberFormat="1" applyAlignment="1">
      <alignment horizontal="left" wrapText="1"/>
    </xf>
    <xf numFmtId="0" fontId="0" fillId="0" borderId="0" xfId="0" applyNumberFormat="1" applyAlignment="1">
      <alignment horizontal="left"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14" fontId="0" fillId="0" borderId="1" xfId="0" applyNumberFormat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2" xfId="0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3" fillId="0" borderId="1" xfId="0" applyFont="1" applyBorder="1" applyAlignment="1">
      <alignment vertical="top" wrapText="1"/>
    </xf>
    <xf numFmtId="14" fontId="0" fillId="2" borderId="1" xfId="0" applyNumberFormat="1" applyFill="1" applyBorder="1" applyAlignment="1">
      <alignment vertical="top"/>
    </xf>
    <xf numFmtId="1" fontId="0" fillId="0" borderId="1" xfId="0" applyNumberFormat="1" applyBorder="1" applyAlignment="1">
      <alignment horizontal="center" vertical="top" wrapText="1"/>
    </xf>
    <xf numFmtId="164" fontId="0" fillId="2" borderId="1" xfId="0" applyNumberFormat="1" applyFill="1" applyBorder="1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/>
    </xf>
    <xf numFmtId="164" fontId="0" fillId="2" borderId="0" xfId="0" applyNumberFormat="1" applyFill="1"/>
    <xf numFmtId="0" fontId="0" fillId="2" borderId="0" xfId="0" applyFill="1"/>
    <xf numFmtId="1" fontId="0" fillId="2" borderId="1" xfId="0" applyNumberForma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Q37"/>
  <sheetViews>
    <sheetView tabSelected="1" topLeftCell="A8" zoomScale="90" zoomScaleNormal="90" workbookViewId="0">
      <selection activeCell="E2" sqref="E2:N30"/>
    </sheetView>
  </sheetViews>
  <sheetFormatPr defaultRowHeight="15"/>
  <cols>
    <col min="1" max="1" width="3.7109375" customWidth="1"/>
    <col min="2" max="2" width="39.140625" customWidth="1"/>
    <col min="3" max="3" width="12.28515625" customWidth="1"/>
    <col min="4" max="4" width="14" customWidth="1"/>
    <col min="5" max="5" width="14" style="34" customWidth="1"/>
    <col min="6" max="6" width="11.140625" style="34" customWidth="1"/>
    <col min="7" max="8" width="7" style="34" customWidth="1"/>
    <col min="9" max="9" width="17.5703125" style="39" customWidth="1"/>
    <col min="10" max="10" width="14.85546875" style="39" customWidth="1"/>
    <col min="11" max="11" width="18.140625" style="39" customWidth="1"/>
    <col min="12" max="12" width="20.140625" style="39" customWidth="1"/>
    <col min="13" max="13" width="25" style="39" customWidth="1"/>
    <col min="14" max="14" width="21.42578125" style="39" customWidth="1"/>
  </cols>
  <sheetData>
    <row r="2" spans="1:17" ht="29.25" customHeight="1">
      <c r="A2" s="1" t="s">
        <v>3</v>
      </c>
      <c r="B2" s="1" t="s">
        <v>1</v>
      </c>
      <c r="C2" s="1"/>
      <c r="D2" s="1" t="s">
        <v>2</v>
      </c>
      <c r="E2" s="31" t="s">
        <v>59</v>
      </c>
      <c r="F2" s="31" t="s">
        <v>32</v>
      </c>
      <c r="G2" s="31" t="s">
        <v>0</v>
      </c>
      <c r="H2" s="31" t="s">
        <v>58</v>
      </c>
      <c r="I2" s="36" t="s">
        <v>26</v>
      </c>
      <c r="J2" s="36" t="s">
        <v>27</v>
      </c>
      <c r="K2" s="36" t="s">
        <v>28</v>
      </c>
      <c r="L2" s="36" t="s">
        <v>29</v>
      </c>
      <c r="M2" s="36" t="s">
        <v>30</v>
      </c>
      <c r="N2" s="36" t="s">
        <v>31</v>
      </c>
    </row>
    <row r="3" spans="1:17" ht="25.5" customHeight="1">
      <c r="A3" s="1">
        <v>1</v>
      </c>
      <c r="B3" s="3" t="s">
        <v>6</v>
      </c>
      <c r="C3" s="1"/>
      <c r="D3" s="4">
        <v>33387</v>
      </c>
      <c r="E3" s="35">
        <f>2025-1991</f>
        <v>34</v>
      </c>
      <c r="F3" s="31">
        <v>2</v>
      </c>
      <c r="G3" s="31">
        <v>2</v>
      </c>
      <c r="H3" s="31">
        <v>1</v>
      </c>
      <c r="I3" s="37">
        <v>19.04</v>
      </c>
      <c r="J3" s="37">
        <v>4.8</v>
      </c>
      <c r="K3" s="37">
        <v>0.28000000000000003</v>
      </c>
      <c r="L3" s="37">
        <v>48.34</v>
      </c>
      <c r="M3" s="37">
        <v>6.42</v>
      </c>
      <c r="N3" s="37">
        <v>0.02</v>
      </c>
    </row>
    <row r="4" spans="1:17" ht="22.5" customHeight="1">
      <c r="A4" s="1">
        <v>2</v>
      </c>
      <c r="B4" s="3" t="s">
        <v>5</v>
      </c>
      <c r="C4" s="1"/>
      <c r="D4" s="4">
        <v>33759</v>
      </c>
      <c r="E4" s="35">
        <f>2025-1992</f>
        <v>33</v>
      </c>
      <c r="F4" s="31">
        <v>10</v>
      </c>
      <c r="G4" s="31">
        <v>10</v>
      </c>
      <c r="H4" s="31">
        <v>3</v>
      </c>
      <c r="I4" s="37">
        <v>18.04</v>
      </c>
      <c r="J4" s="37">
        <v>3.44</v>
      </c>
      <c r="K4" s="37">
        <v>0.18</v>
      </c>
      <c r="L4" s="37">
        <v>43.4</v>
      </c>
      <c r="M4" s="37">
        <v>4.9800000000000004</v>
      </c>
      <c r="N4" s="37">
        <v>0.06</v>
      </c>
    </row>
    <row r="5" spans="1:17" ht="25.5" customHeight="1">
      <c r="A5" s="1">
        <v>3</v>
      </c>
      <c r="B5" s="3" t="s">
        <v>7</v>
      </c>
      <c r="C5" s="1"/>
      <c r="D5" s="4">
        <v>33110</v>
      </c>
      <c r="E5" s="35">
        <f>2025-1990</f>
        <v>35</v>
      </c>
      <c r="F5" s="31">
        <v>9</v>
      </c>
      <c r="G5" s="31">
        <v>9</v>
      </c>
      <c r="H5" s="31">
        <v>3</v>
      </c>
      <c r="I5" s="37">
        <v>21.04</v>
      </c>
      <c r="J5" s="37">
        <v>1.26</v>
      </c>
      <c r="K5" s="37">
        <v>1.17</v>
      </c>
      <c r="L5" s="37">
        <v>46.5</v>
      </c>
      <c r="M5" s="37">
        <v>4.12</v>
      </c>
      <c r="N5" s="37">
        <v>0.09</v>
      </c>
    </row>
    <row r="6" spans="1:17" ht="24.75" customHeight="1">
      <c r="A6" s="1">
        <v>4</v>
      </c>
      <c r="B6" s="3" t="s">
        <v>4</v>
      </c>
      <c r="C6" s="1"/>
      <c r="D6" s="4">
        <v>31825</v>
      </c>
      <c r="E6" s="35">
        <f>2025-1987</f>
        <v>38</v>
      </c>
      <c r="F6" s="31">
        <v>13</v>
      </c>
      <c r="G6" s="31">
        <v>13</v>
      </c>
      <c r="H6" s="31">
        <v>1</v>
      </c>
      <c r="I6" s="37">
        <v>20.64</v>
      </c>
      <c r="J6" s="37">
        <v>2.17</v>
      </c>
      <c r="K6" s="37">
        <v>3.16</v>
      </c>
      <c r="L6" s="37">
        <v>40.15</v>
      </c>
      <c r="M6" s="37">
        <v>5.76</v>
      </c>
      <c r="N6" s="37">
        <v>0.01</v>
      </c>
      <c r="P6">
        <v>1</v>
      </c>
      <c r="Q6">
        <v>100</v>
      </c>
    </row>
    <row r="7" spans="1:17" ht="25.5" customHeight="1">
      <c r="A7" s="2">
        <v>5</v>
      </c>
      <c r="B7" s="5" t="s">
        <v>8</v>
      </c>
      <c r="C7" s="27">
        <v>1</v>
      </c>
      <c r="D7" s="4">
        <v>28466</v>
      </c>
      <c r="E7" s="35">
        <f>2025-1977</f>
        <v>48</v>
      </c>
      <c r="F7" s="31">
        <v>4</v>
      </c>
      <c r="G7" s="31">
        <v>4</v>
      </c>
      <c r="H7" s="31">
        <v>2</v>
      </c>
      <c r="I7" s="37">
        <v>26.17</v>
      </c>
      <c r="J7" s="37">
        <v>4.54</v>
      </c>
      <c r="K7" s="37">
        <v>0.17</v>
      </c>
      <c r="L7" s="37">
        <v>39.67</v>
      </c>
      <c r="M7" s="37">
        <v>5.12</v>
      </c>
      <c r="N7" s="37">
        <v>0.08</v>
      </c>
      <c r="P7">
        <v>48.34</v>
      </c>
      <c r="Q7">
        <f>P7*Q6/P6</f>
        <v>4834</v>
      </c>
    </row>
    <row r="8" spans="1:17" ht="28.5" customHeight="1">
      <c r="A8" s="2">
        <v>6</v>
      </c>
      <c r="B8" s="5" t="s">
        <v>9</v>
      </c>
      <c r="C8" s="27"/>
      <c r="D8" s="4">
        <v>19902</v>
      </c>
      <c r="E8" s="35">
        <f>2025-1954</f>
        <v>71</v>
      </c>
      <c r="F8" s="31">
        <v>0.6</v>
      </c>
      <c r="G8" s="31">
        <v>0.6</v>
      </c>
      <c r="H8" s="31">
        <v>1</v>
      </c>
      <c r="I8" s="37">
        <v>17.600000000000001</v>
      </c>
      <c r="J8" s="37">
        <v>2.65</v>
      </c>
      <c r="K8" s="37">
        <v>1.02</v>
      </c>
      <c r="L8" s="37">
        <v>45.3</v>
      </c>
      <c r="M8" s="37">
        <v>5.01</v>
      </c>
      <c r="N8" s="37">
        <v>0.02</v>
      </c>
    </row>
    <row r="9" spans="1:17" ht="25.5" customHeight="1">
      <c r="A9" s="2">
        <v>7</v>
      </c>
      <c r="B9" s="5" t="s">
        <v>10</v>
      </c>
      <c r="C9" s="27"/>
      <c r="D9" s="4">
        <v>35180</v>
      </c>
      <c r="E9" s="35">
        <f>2025-1996</f>
        <v>29</v>
      </c>
      <c r="F9" s="31">
        <v>1.5</v>
      </c>
      <c r="G9" s="31">
        <v>1.5</v>
      </c>
      <c r="H9" s="31">
        <v>1</v>
      </c>
      <c r="I9" s="37">
        <v>26.54</v>
      </c>
      <c r="J9" s="37">
        <v>1.1499999999999999</v>
      </c>
      <c r="K9" s="37">
        <v>0.76</v>
      </c>
      <c r="L9" s="37">
        <v>46.42</v>
      </c>
      <c r="M9" s="37">
        <v>3.17</v>
      </c>
      <c r="N9" s="37">
        <v>0.01</v>
      </c>
    </row>
    <row r="10" spans="1:17" ht="23.25" customHeight="1">
      <c r="A10" s="2">
        <v>8</v>
      </c>
      <c r="B10" s="5" t="s">
        <v>11</v>
      </c>
      <c r="C10" s="27">
        <v>1</v>
      </c>
      <c r="D10" s="4">
        <v>34662</v>
      </c>
      <c r="E10" s="35">
        <f>2025-1994</f>
        <v>31</v>
      </c>
      <c r="F10" s="31">
        <v>8</v>
      </c>
      <c r="G10" s="31">
        <v>0.2</v>
      </c>
      <c r="H10" s="31">
        <v>2</v>
      </c>
      <c r="I10" s="37">
        <v>20.16</v>
      </c>
      <c r="J10" s="37">
        <v>3.67</v>
      </c>
      <c r="K10" s="37">
        <v>0.75</v>
      </c>
      <c r="L10" s="37">
        <v>40.18</v>
      </c>
      <c r="M10" s="37">
        <v>2.67</v>
      </c>
      <c r="N10" s="38">
        <v>0.05</v>
      </c>
      <c r="O10" s="21"/>
    </row>
    <row r="11" spans="1:17" ht="23.25" customHeight="1">
      <c r="A11" s="2">
        <v>9</v>
      </c>
      <c r="B11" s="5" t="s">
        <v>12</v>
      </c>
      <c r="C11" s="27">
        <v>1</v>
      </c>
      <c r="D11" s="4">
        <v>37454</v>
      </c>
      <c r="E11" s="35">
        <f>2025-2002</f>
        <v>23</v>
      </c>
      <c r="F11" s="31">
        <v>0.6</v>
      </c>
      <c r="G11" s="31">
        <v>0.4</v>
      </c>
      <c r="H11" s="31">
        <v>1</v>
      </c>
      <c r="I11" s="38">
        <v>17.559999999999999</v>
      </c>
      <c r="J11" s="37">
        <v>5.94</v>
      </c>
      <c r="K11" s="37">
        <v>0.31</v>
      </c>
      <c r="L11" s="37">
        <v>39.67</v>
      </c>
      <c r="M11" s="37">
        <v>6.47</v>
      </c>
      <c r="N11" s="37">
        <v>0.04</v>
      </c>
    </row>
    <row r="12" spans="1:17" ht="24.75" customHeight="1">
      <c r="A12" s="2">
        <v>10</v>
      </c>
      <c r="B12" s="6" t="s">
        <v>18</v>
      </c>
      <c r="C12" s="1">
        <v>1</v>
      </c>
      <c r="D12" s="4">
        <v>35474</v>
      </c>
      <c r="E12" s="35">
        <f>2025-1997</f>
        <v>28</v>
      </c>
      <c r="F12" s="31">
        <v>1.5</v>
      </c>
      <c r="G12" s="31">
        <v>1.5</v>
      </c>
      <c r="H12" s="31">
        <v>1</v>
      </c>
      <c r="I12" s="37">
        <v>23.67</v>
      </c>
      <c r="J12" s="37">
        <v>3.9</v>
      </c>
      <c r="K12" s="37">
        <v>0.76</v>
      </c>
      <c r="L12" s="37">
        <v>50.28</v>
      </c>
      <c r="M12" s="37">
        <v>7.01</v>
      </c>
      <c r="N12" s="37">
        <v>0.02</v>
      </c>
    </row>
    <row r="13" spans="1:17" ht="29.25" customHeight="1">
      <c r="A13" s="6">
        <v>11</v>
      </c>
      <c r="B13" s="3" t="s">
        <v>20</v>
      </c>
      <c r="C13" s="1">
        <v>1</v>
      </c>
      <c r="D13" s="4">
        <v>29312</v>
      </c>
      <c r="E13" s="35">
        <f>2025-1980</f>
        <v>45</v>
      </c>
      <c r="F13" s="31">
        <v>1.5</v>
      </c>
      <c r="G13" s="31">
        <v>1.5</v>
      </c>
      <c r="H13" s="31">
        <v>1</v>
      </c>
      <c r="I13" s="37">
        <v>20.6</v>
      </c>
      <c r="J13" s="37">
        <v>4.1500000000000004</v>
      </c>
      <c r="K13" s="37">
        <v>1.07</v>
      </c>
      <c r="L13" s="37">
        <v>51.51</v>
      </c>
      <c r="M13" s="37">
        <v>6.12</v>
      </c>
      <c r="N13" s="37">
        <v>0.02</v>
      </c>
    </row>
    <row r="14" spans="1:17" ht="26.25" customHeight="1">
      <c r="A14" s="6">
        <v>12</v>
      </c>
      <c r="B14" s="17" t="s">
        <v>57</v>
      </c>
      <c r="C14" s="25">
        <v>1</v>
      </c>
      <c r="D14" s="6">
        <v>1991</v>
      </c>
      <c r="E14" s="35">
        <f t="shared" ref="E14:E19" si="0">2025-1991</f>
        <v>34</v>
      </c>
      <c r="F14" s="32"/>
      <c r="G14" s="32"/>
      <c r="H14" s="32"/>
      <c r="I14" s="37">
        <v>26.41</v>
      </c>
      <c r="J14" s="37">
        <v>3.81</v>
      </c>
      <c r="K14" s="37">
        <v>0.76</v>
      </c>
      <c r="L14" s="38">
        <v>49.62</v>
      </c>
      <c r="M14" s="38">
        <v>4.8</v>
      </c>
      <c r="N14" s="38">
        <v>7.0000000000000007E-2</v>
      </c>
    </row>
    <row r="15" spans="1:17" ht="27" customHeight="1">
      <c r="A15" s="6">
        <v>13</v>
      </c>
      <c r="B15" s="6" t="s">
        <v>43</v>
      </c>
      <c r="C15" s="1"/>
      <c r="D15" s="6">
        <v>1990</v>
      </c>
      <c r="E15" s="35">
        <f>2025-1990</f>
        <v>35</v>
      </c>
      <c r="F15" s="31">
        <v>6</v>
      </c>
      <c r="G15" s="31">
        <v>2</v>
      </c>
      <c r="H15" s="31">
        <v>1</v>
      </c>
      <c r="I15" s="37">
        <v>19.32</v>
      </c>
      <c r="J15" s="37">
        <v>4.8099999999999996</v>
      </c>
      <c r="K15" s="37">
        <v>0.31</v>
      </c>
      <c r="L15" s="37">
        <v>53.42</v>
      </c>
      <c r="M15" s="37">
        <v>3.9</v>
      </c>
      <c r="N15" s="37">
        <v>7.0000000000000007E-2</v>
      </c>
    </row>
    <row r="16" spans="1:17" ht="22.5" customHeight="1">
      <c r="A16" s="6">
        <v>14</v>
      </c>
      <c r="B16" s="6" t="s">
        <v>44</v>
      </c>
      <c r="C16" s="1"/>
      <c r="D16" s="6">
        <v>1966</v>
      </c>
      <c r="E16" s="35">
        <f>2025-1966</f>
        <v>59</v>
      </c>
      <c r="F16" s="31"/>
      <c r="G16" s="31"/>
      <c r="H16" s="31"/>
      <c r="I16" s="37">
        <v>25.67</v>
      </c>
      <c r="J16" s="37">
        <v>1.76</v>
      </c>
      <c r="K16" s="37">
        <v>0.15</v>
      </c>
      <c r="L16" s="37">
        <v>47.5</v>
      </c>
      <c r="M16" s="37">
        <v>1.17</v>
      </c>
      <c r="N16" s="37">
        <v>0.01</v>
      </c>
    </row>
    <row r="17" spans="1:14" ht="27" customHeight="1">
      <c r="A17" s="6">
        <v>15</v>
      </c>
      <c r="B17" s="6" t="s">
        <v>45</v>
      </c>
      <c r="C17" s="1"/>
      <c r="D17" s="6">
        <v>1999</v>
      </c>
      <c r="E17" s="35">
        <f>2025-1999</f>
        <v>26</v>
      </c>
      <c r="F17" s="31"/>
      <c r="G17" s="31"/>
      <c r="H17" s="31"/>
      <c r="I17" s="37">
        <v>19.41</v>
      </c>
      <c r="J17" s="37">
        <v>3.94</v>
      </c>
      <c r="K17" s="37">
        <v>0.42</v>
      </c>
      <c r="L17" s="37">
        <v>47.51</v>
      </c>
      <c r="M17" s="37">
        <v>5.5</v>
      </c>
      <c r="N17" s="37">
        <v>0.06</v>
      </c>
    </row>
    <row r="18" spans="1:14" ht="24.75" customHeight="1">
      <c r="A18" s="6">
        <v>16</v>
      </c>
      <c r="B18" s="6" t="s">
        <v>43</v>
      </c>
      <c r="C18" s="1"/>
      <c r="D18" s="6">
        <v>1990</v>
      </c>
      <c r="E18" s="35">
        <f>2025-1990</f>
        <v>35</v>
      </c>
      <c r="F18" s="31">
        <v>6</v>
      </c>
      <c r="G18" s="31">
        <v>2</v>
      </c>
      <c r="H18" s="31">
        <v>1</v>
      </c>
      <c r="I18" s="37">
        <v>12.01</v>
      </c>
      <c r="J18" s="37">
        <v>0.65</v>
      </c>
      <c r="K18" s="37">
        <v>0.02</v>
      </c>
      <c r="L18" s="37">
        <v>40.28</v>
      </c>
      <c r="M18" s="37">
        <v>2.6</v>
      </c>
      <c r="N18" s="37">
        <v>7.0000000000000007E-2</v>
      </c>
    </row>
    <row r="19" spans="1:14" ht="22.5" customHeight="1">
      <c r="A19" s="6">
        <v>17</v>
      </c>
      <c r="B19" s="6" t="s">
        <v>57</v>
      </c>
      <c r="C19" s="1">
        <v>1</v>
      </c>
      <c r="D19" s="6">
        <v>1991</v>
      </c>
      <c r="E19" s="35">
        <f t="shared" si="0"/>
        <v>34</v>
      </c>
      <c r="F19" s="31"/>
      <c r="G19" s="31"/>
      <c r="H19" s="31"/>
      <c r="I19" s="37">
        <v>26.17</v>
      </c>
      <c r="J19" s="37">
        <v>3.17</v>
      </c>
      <c r="K19" s="37">
        <v>0.31</v>
      </c>
      <c r="L19" s="37">
        <v>33.65</v>
      </c>
      <c r="M19" s="37">
        <v>1.17</v>
      </c>
      <c r="N19" s="37">
        <v>0.01</v>
      </c>
    </row>
    <row r="20" spans="1:14" ht="21.75" customHeight="1">
      <c r="A20" s="6">
        <v>18</v>
      </c>
      <c r="B20" s="6" t="s">
        <v>46</v>
      </c>
      <c r="C20" s="1">
        <v>1</v>
      </c>
      <c r="D20" s="6">
        <v>2002</v>
      </c>
      <c r="E20" s="35">
        <f>2025-2002</f>
        <v>23</v>
      </c>
      <c r="F20" s="31"/>
      <c r="G20" s="31"/>
      <c r="H20" s="31"/>
      <c r="I20" s="37">
        <v>25.08</v>
      </c>
      <c r="J20" s="37">
        <v>5.16</v>
      </c>
      <c r="K20" s="37">
        <v>1.17</v>
      </c>
      <c r="L20" s="37">
        <v>49.12</v>
      </c>
      <c r="M20" s="37">
        <v>5.48</v>
      </c>
      <c r="N20" s="37">
        <v>7.0000000000000007E-2</v>
      </c>
    </row>
    <row r="21" spans="1:14" ht="21" customHeight="1">
      <c r="A21" s="6">
        <v>19</v>
      </c>
      <c r="B21" s="6" t="s">
        <v>47</v>
      </c>
      <c r="C21" s="1"/>
      <c r="D21" s="6">
        <v>1999</v>
      </c>
      <c r="E21" s="35">
        <f>2025-1999</f>
        <v>26</v>
      </c>
      <c r="F21" s="31"/>
      <c r="G21" s="31"/>
      <c r="H21" s="31"/>
      <c r="I21" s="37">
        <v>24.86</v>
      </c>
      <c r="J21" s="37">
        <v>2.16</v>
      </c>
      <c r="K21" s="37">
        <v>1.1000000000000001</v>
      </c>
      <c r="L21" s="37">
        <v>51.41</v>
      </c>
      <c r="M21" s="37">
        <v>5.12</v>
      </c>
      <c r="N21" s="37">
        <v>0.06</v>
      </c>
    </row>
    <row r="22" spans="1:14" ht="28.5" customHeight="1">
      <c r="A22" s="6">
        <v>20</v>
      </c>
      <c r="B22" s="6" t="s">
        <v>48</v>
      </c>
      <c r="C22" s="1"/>
      <c r="D22" s="6">
        <v>1993</v>
      </c>
      <c r="E22" s="35">
        <f>2025-1993</f>
        <v>32</v>
      </c>
      <c r="F22" s="31">
        <v>9</v>
      </c>
      <c r="G22" s="31">
        <v>9</v>
      </c>
      <c r="H22" s="31">
        <v>2</v>
      </c>
      <c r="I22" s="37">
        <v>18.420000000000002</v>
      </c>
      <c r="J22" s="37">
        <v>1.02</v>
      </c>
      <c r="K22" s="37">
        <v>0.94</v>
      </c>
      <c r="L22" s="37">
        <v>48.94</v>
      </c>
      <c r="M22" s="37">
        <v>4.1900000000000004</v>
      </c>
      <c r="N22" s="37">
        <v>0.01</v>
      </c>
    </row>
    <row r="23" spans="1:14" ht="27" customHeight="1">
      <c r="A23" s="6">
        <v>21</v>
      </c>
      <c r="B23" s="23" t="s">
        <v>49</v>
      </c>
      <c r="C23" s="28">
        <v>1</v>
      </c>
      <c r="D23" s="6">
        <v>1992</v>
      </c>
      <c r="E23" s="35">
        <f>2025-1992</f>
        <v>33</v>
      </c>
      <c r="F23" s="31">
        <v>6</v>
      </c>
      <c r="G23" s="31">
        <v>6</v>
      </c>
      <c r="H23" s="31">
        <v>1</v>
      </c>
      <c r="I23" s="37">
        <v>28.12</v>
      </c>
      <c r="J23" s="37">
        <v>4.16</v>
      </c>
      <c r="K23" s="37">
        <v>1.99</v>
      </c>
      <c r="L23" s="37">
        <v>40.119999999999997</v>
      </c>
      <c r="M23" s="37">
        <v>2.4</v>
      </c>
      <c r="N23" s="37">
        <v>0.03</v>
      </c>
    </row>
    <row r="24" spans="1:14" ht="27" customHeight="1">
      <c r="A24" s="6">
        <v>22</v>
      </c>
      <c r="B24" s="6" t="s">
        <v>50</v>
      </c>
      <c r="C24" s="1">
        <v>1</v>
      </c>
      <c r="D24" s="6">
        <v>1962</v>
      </c>
      <c r="E24" s="35">
        <f>2025-1962</f>
        <v>63</v>
      </c>
      <c r="F24" s="31">
        <v>6</v>
      </c>
      <c r="G24" s="31">
        <v>6</v>
      </c>
      <c r="H24" s="31">
        <v>1</v>
      </c>
      <c r="I24" s="37">
        <v>22.63</v>
      </c>
      <c r="J24" s="37">
        <v>2.1800000000000002</v>
      </c>
      <c r="K24" s="37">
        <v>1.02</v>
      </c>
      <c r="L24" s="37">
        <v>36.72</v>
      </c>
      <c r="M24" s="37">
        <v>5.16</v>
      </c>
      <c r="N24" s="37">
        <v>0.08</v>
      </c>
    </row>
    <row r="25" spans="1:14" ht="24.75" customHeight="1">
      <c r="A25" s="6">
        <v>23</v>
      </c>
      <c r="B25" s="6" t="s">
        <v>51</v>
      </c>
      <c r="C25" s="1"/>
      <c r="D25" s="6">
        <v>1990</v>
      </c>
      <c r="E25" s="35">
        <f>2025-1990</f>
        <v>35</v>
      </c>
      <c r="F25" s="31"/>
      <c r="G25" s="31"/>
      <c r="H25" s="31"/>
      <c r="I25" s="37">
        <v>19.420000000000002</v>
      </c>
      <c r="J25" s="37">
        <v>1.21</v>
      </c>
      <c r="K25" s="37">
        <v>0.46</v>
      </c>
      <c r="L25" s="37">
        <v>44.16</v>
      </c>
      <c r="M25" s="37">
        <v>4.01</v>
      </c>
      <c r="N25" s="37">
        <v>0.01</v>
      </c>
    </row>
    <row r="26" spans="1:14" ht="27" customHeight="1">
      <c r="A26" s="6">
        <v>24</v>
      </c>
      <c r="B26" s="6" t="s">
        <v>52</v>
      </c>
      <c r="C26" s="1"/>
      <c r="D26" s="6">
        <v>2000</v>
      </c>
      <c r="E26" s="35">
        <f>2025-2000</f>
        <v>25</v>
      </c>
      <c r="F26" s="31"/>
      <c r="G26" s="31"/>
      <c r="H26" s="31"/>
      <c r="I26" s="37">
        <v>20.170000000000002</v>
      </c>
      <c r="J26" s="37">
        <v>2.5</v>
      </c>
      <c r="K26" s="37">
        <v>0.4</v>
      </c>
      <c r="L26" s="37">
        <v>51.93</v>
      </c>
      <c r="M26" s="37">
        <v>3.67</v>
      </c>
      <c r="N26" s="37">
        <v>0.08</v>
      </c>
    </row>
    <row r="27" spans="1:14" ht="18" customHeight="1">
      <c r="A27" s="6">
        <v>25</v>
      </c>
      <c r="B27" s="6" t="s">
        <v>53</v>
      </c>
      <c r="C27" s="1"/>
      <c r="D27" s="6">
        <v>1974</v>
      </c>
      <c r="E27" s="35">
        <f>2025-1974</f>
        <v>51</v>
      </c>
      <c r="F27" s="31"/>
      <c r="G27" s="31"/>
      <c r="H27" s="31"/>
      <c r="I27" s="37">
        <v>25.44</v>
      </c>
      <c r="J27" s="37">
        <v>1.19</v>
      </c>
      <c r="K27" s="37">
        <v>1.1200000000000001</v>
      </c>
      <c r="L27" s="37">
        <v>47.47</v>
      </c>
      <c r="M27" s="37">
        <v>2.63</v>
      </c>
      <c r="N27" s="37">
        <v>0.08</v>
      </c>
    </row>
    <row r="28" spans="1:14" ht="18" customHeight="1">
      <c r="A28" s="6">
        <v>26</v>
      </c>
      <c r="B28" s="6" t="s">
        <v>54</v>
      </c>
      <c r="C28" s="1"/>
      <c r="D28" s="6">
        <v>1999</v>
      </c>
      <c r="E28" s="35">
        <f>2025-1999</f>
        <v>26</v>
      </c>
      <c r="F28" s="31"/>
      <c r="G28" s="31"/>
      <c r="H28" s="31"/>
      <c r="I28" s="37">
        <v>28.13</v>
      </c>
      <c r="J28" s="37">
        <v>2.94</v>
      </c>
      <c r="K28" s="37">
        <v>1.99</v>
      </c>
      <c r="L28" s="37">
        <v>50.21</v>
      </c>
      <c r="M28" s="37">
        <v>1.1599999999999999</v>
      </c>
      <c r="N28" s="37">
        <v>0.01</v>
      </c>
    </row>
    <row r="29" spans="1:14" ht="16.5" customHeight="1">
      <c r="A29" s="19">
        <v>27</v>
      </c>
      <c r="B29" s="20" t="s">
        <v>55</v>
      </c>
      <c r="C29" s="29"/>
      <c r="D29" s="20">
        <v>1976</v>
      </c>
      <c r="E29" s="35">
        <f>2025-1976</f>
        <v>49</v>
      </c>
      <c r="F29" s="30">
        <v>3</v>
      </c>
      <c r="G29" s="30">
        <v>3</v>
      </c>
      <c r="H29" s="30">
        <v>1</v>
      </c>
      <c r="I29" s="37">
        <v>23.63</v>
      </c>
      <c r="J29" s="37">
        <v>2.0699999999999998</v>
      </c>
      <c r="K29" s="37">
        <v>0.16</v>
      </c>
      <c r="L29" s="37">
        <v>36.159999999999997</v>
      </c>
      <c r="M29" s="37">
        <v>2.19</v>
      </c>
      <c r="N29" s="37">
        <v>0.08</v>
      </c>
    </row>
    <row r="30" spans="1:14" ht="18" customHeight="1">
      <c r="A30" s="19">
        <v>28</v>
      </c>
      <c r="B30" s="20" t="s">
        <v>56</v>
      </c>
      <c r="C30" s="29"/>
      <c r="D30" s="20">
        <v>1982</v>
      </c>
      <c r="E30" s="35">
        <f>2025-1982</f>
        <v>43</v>
      </c>
      <c r="F30" s="30">
        <v>1.5</v>
      </c>
      <c r="G30" s="30">
        <v>1.1000000000000001</v>
      </c>
      <c r="H30" s="30">
        <v>2</v>
      </c>
      <c r="I30" s="37">
        <v>21.21</v>
      </c>
      <c r="J30" s="37">
        <v>1.96</v>
      </c>
      <c r="K30" s="37">
        <v>0.42</v>
      </c>
      <c r="L30" s="37">
        <v>48.21</v>
      </c>
      <c r="M30" s="37">
        <v>1.42</v>
      </c>
      <c r="N30" s="37">
        <v>0.09</v>
      </c>
    </row>
    <row r="31" spans="1:14" ht="21.75" customHeight="1">
      <c r="A31" s="19">
        <v>29</v>
      </c>
      <c r="B31" s="22"/>
      <c r="C31" s="30">
        <f>SUM(C3:C30)</f>
        <v>10</v>
      </c>
      <c r="D31" s="22"/>
      <c r="E31" s="22"/>
      <c r="F31" s="22"/>
      <c r="G31" s="22"/>
      <c r="H31" s="22"/>
      <c r="I31" s="37"/>
      <c r="J31" s="37"/>
      <c r="K31" s="37"/>
      <c r="L31" s="37"/>
      <c r="M31" s="37"/>
      <c r="N31" s="37"/>
    </row>
    <row r="32" spans="1:14" ht="27.75" customHeight="1">
      <c r="A32" s="19">
        <v>30</v>
      </c>
      <c r="B32" s="22"/>
      <c r="C32" s="26">
        <f>10*100/28</f>
        <v>35.714285714285715</v>
      </c>
      <c r="D32" s="22"/>
      <c r="E32" s="26">
        <v>35.356999999999999</v>
      </c>
      <c r="F32" s="26"/>
      <c r="G32" s="26"/>
      <c r="H32" s="26"/>
      <c r="I32" s="26">
        <v>22</v>
      </c>
      <c r="J32" s="26">
        <v>2.94</v>
      </c>
      <c r="K32" s="26">
        <v>0.79800000000000004</v>
      </c>
      <c r="L32" s="26">
        <v>45.28</v>
      </c>
      <c r="M32" s="26">
        <v>4.05</v>
      </c>
      <c r="N32" s="26">
        <v>4.6699999999999998E-2</v>
      </c>
    </row>
    <row r="33" spans="1:14" ht="47.25" customHeight="1">
      <c r="A33" s="19">
        <v>31</v>
      </c>
      <c r="E33" s="26">
        <v>10.2567</v>
      </c>
      <c r="F33" s="33"/>
      <c r="G33" s="33"/>
      <c r="H33" s="33"/>
      <c r="I33" s="26">
        <v>3.88</v>
      </c>
      <c r="J33" s="26">
        <v>1.44</v>
      </c>
      <c r="K33" s="26">
        <v>0.68899999999999995</v>
      </c>
      <c r="L33" s="26">
        <v>5.38</v>
      </c>
      <c r="M33" s="26">
        <v>1.74</v>
      </c>
      <c r="N33" s="26">
        <v>0.03</v>
      </c>
    </row>
    <row r="34" spans="1:14">
      <c r="A34" s="20"/>
      <c r="B34" s="20"/>
      <c r="C34" s="20"/>
      <c r="D34" s="20"/>
      <c r="E34" s="22"/>
      <c r="F34" s="22"/>
      <c r="G34" s="22"/>
      <c r="H34" s="22"/>
      <c r="I34" s="37"/>
      <c r="J34" s="37"/>
      <c r="K34" s="37"/>
      <c r="L34" s="37"/>
      <c r="M34" s="37"/>
      <c r="N34" s="37"/>
    </row>
    <row r="35" spans="1:14">
      <c r="A35" s="20"/>
      <c r="B35" s="22" t="s">
        <v>33</v>
      </c>
      <c r="C35" s="22"/>
      <c r="D35" s="24">
        <v>31535</v>
      </c>
      <c r="E35" s="22"/>
      <c r="F35" s="22">
        <v>0.6</v>
      </c>
      <c r="G35" s="22">
        <v>0.6</v>
      </c>
      <c r="H35" s="22"/>
      <c r="I35" s="37"/>
      <c r="J35" s="37"/>
      <c r="K35" s="37"/>
      <c r="L35" s="37"/>
      <c r="M35" s="37"/>
      <c r="N35" s="37"/>
    </row>
    <row r="36" spans="1:14">
      <c r="A36" s="20"/>
      <c r="B36" s="20"/>
      <c r="C36" s="20"/>
      <c r="D36" s="20"/>
      <c r="E36" s="22"/>
      <c r="F36" s="22"/>
      <c r="G36" s="22"/>
      <c r="H36" s="22"/>
      <c r="I36" s="37"/>
      <c r="J36" s="37"/>
      <c r="K36" s="37"/>
      <c r="L36" s="37"/>
      <c r="M36" s="37"/>
      <c r="N36" s="37"/>
    </row>
    <row r="37" spans="1:14">
      <c r="A37" s="20"/>
      <c r="B37" s="20"/>
      <c r="C37" s="20"/>
      <c r="D37" s="20"/>
      <c r="E37" s="22"/>
      <c r="F37" s="22"/>
      <c r="G37" s="22"/>
      <c r="H37" s="22"/>
      <c r="I37" s="37"/>
      <c r="J37" s="37"/>
      <c r="K37" s="37"/>
      <c r="L37" s="37"/>
      <c r="M37" s="37"/>
      <c r="N37" s="37"/>
    </row>
  </sheetData>
  <autoFilter ref="A2:N33">
    <filterColumn colId="2"/>
    <filterColumn colId="4"/>
    <filterColumn colId="7"/>
  </autoFilter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2"/>
  <sheetViews>
    <sheetView topLeftCell="A25" workbookViewId="0">
      <selection activeCell="A25" sqref="A25"/>
    </sheetView>
  </sheetViews>
  <sheetFormatPr defaultRowHeight="15"/>
  <cols>
    <col min="1" max="1" width="104.28515625" customWidth="1"/>
  </cols>
  <sheetData>
    <row r="1" spans="1:1">
      <c r="A1" s="16" t="s">
        <v>13</v>
      </c>
    </row>
    <row r="2" spans="1:1">
      <c r="A2" s="8">
        <v>35474</v>
      </c>
    </row>
    <row r="3" spans="1:1">
      <c r="A3" s="9">
        <v>970213350789</v>
      </c>
    </row>
    <row r="4" spans="1:1" ht="30">
      <c r="A4" s="7" t="s">
        <v>14</v>
      </c>
    </row>
    <row r="5" spans="1:1">
      <c r="A5" s="7" t="s">
        <v>15</v>
      </c>
    </row>
    <row r="6" spans="1:1" ht="45">
      <c r="A6" s="7" t="s">
        <v>16</v>
      </c>
    </row>
    <row r="7" spans="1:1">
      <c r="A7" s="7" t="s">
        <v>17</v>
      </c>
    </row>
    <row r="8" spans="1:1" ht="105">
      <c r="A8" s="10" t="s">
        <v>19</v>
      </c>
    </row>
    <row r="10" spans="1:1">
      <c r="A10" s="15" t="s">
        <v>20</v>
      </c>
    </row>
    <row r="11" spans="1:1">
      <c r="A11" s="12">
        <v>29312</v>
      </c>
    </row>
    <row r="12" spans="1:1">
      <c r="A12" s="14">
        <v>800401303933</v>
      </c>
    </row>
    <row r="13" spans="1:1" ht="30">
      <c r="A13" s="11" t="s">
        <v>21</v>
      </c>
    </row>
    <row r="14" spans="1:1">
      <c r="A14" s="11" t="s">
        <v>22</v>
      </c>
    </row>
    <row r="15" spans="1:1" ht="131.25" customHeight="1">
      <c r="A15" s="13" t="s">
        <v>23</v>
      </c>
    </row>
    <row r="16" spans="1:1">
      <c r="A16" s="11"/>
    </row>
    <row r="17" spans="1:1" ht="156" customHeight="1">
      <c r="A17" s="13" t="s">
        <v>24</v>
      </c>
    </row>
    <row r="18" spans="1:1">
      <c r="A18" s="11" t="s">
        <v>25</v>
      </c>
    </row>
    <row r="20" spans="1:1" ht="180">
      <c r="A20" s="18" t="s">
        <v>41</v>
      </c>
    </row>
    <row r="22" spans="1:1" ht="300">
      <c r="A22" s="18" t="s">
        <v>34</v>
      </c>
    </row>
    <row r="25" spans="1:1" ht="45">
      <c r="A25" s="18" t="s">
        <v>42</v>
      </c>
    </row>
    <row r="28" spans="1:1" ht="120">
      <c r="A28" s="18" t="s">
        <v>39</v>
      </c>
    </row>
    <row r="31" spans="1:1" ht="120">
      <c r="A31" s="18" t="s">
        <v>40</v>
      </c>
    </row>
    <row r="34" spans="1:1" ht="180">
      <c r="A34" s="18" t="s">
        <v>38</v>
      </c>
    </row>
    <row r="37" spans="1:1" ht="150">
      <c r="A37" s="18" t="s">
        <v>37</v>
      </c>
    </row>
    <row r="40" spans="1:1" ht="165">
      <c r="A40" s="18" t="s">
        <v>36</v>
      </c>
    </row>
    <row r="42" spans="1:1" ht="165">
      <c r="A42" s="18" t="s">
        <v>35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2025-10-09T06:28:38Z</dcterms:modified>
</cp:coreProperties>
</file>